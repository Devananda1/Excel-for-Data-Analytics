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BA3AC2E-408B-4BC1-ADE8-7FFBAFCB7E3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answers" sheetId="3" r:id="rId3"/>
    <sheet name="ques 3 ans" sheetId="4" r:id="rId4"/>
  </sheets>
  <definedNames>
    <definedName name="_xlnm._FilterDatabase" localSheetId="2" hidden="1">answers!$A$1:$K$35</definedName>
  </definedNames>
  <calcPr calcId="191029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M35" i="3" l="1"/>
  <c r="M28" i="3"/>
  <c r="M29" i="3"/>
  <c r="M30" i="3"/>
  <c r="M31" i="3"/>
  <c r="M32" i="3"/>
  <c r="M33" i="3"/>
  <c r="M3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3" i="3"/>
  <c r="M4" i="3"/>
  <c r="M5" i="3"/>
  <c r="M6" i="3"/>
  <c r="M7" i="3"/>
  <c r="M8" i="3"/>
  <c r="M9" i="3"/>
  <c r="M10" i="3"/>
  <c r="M11" i="3"/>
  <c r="M12" i="3"/>
  <c r="M13" i="3"/>
  <c r="M14" i="3"/>
  <c r="M2" i="3"/>
  <c r="L31" i="3"/>
  <c r="L32" i="3"/>
  <c r="L33" i="3"/>
  <c r="L34" i="3"/>
  <c r="L35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" i="3"/>
  <c r="L4" i="3"/>
  <c r="L5" i="3"/>
  <c r="L6" i="3"/>
  <c r="L7" i="3"/>
  <c r="L8" i="3"/>
  <c r="L9" i="3"/>
  <c r="L10" i="3"/>
  <c r="L11" i="3"/>
  <c r="L12" i="3"/>
  <c r="L13" i="3"/>
  <c r="L2" i="3"/>
  <c r="K2" i="3"/>
  <c r="N2" i="3"/>
  <c r="O2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N29" i="3"/>
  <c r="N30" i="3"/>
  <c r="N31" i="3"/>
  <c r="N32" i="3"/>
  <c r="N33" i="3"/>
  <c r="N34" i="3"/>
  <c r="N35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3" i="3"/>
  <c r="N4" i="3"/>
  <c r="N5" i="3"/>
  <c r="N6" i="3"/>
  <c r="N7" i="3"/>
  <c r="N8" i="3"/>
  <c r="N9" i="3"/>
  <c r="N10" i="3"/>
  <c r="N11" i="3"/>
  <c r="N12" i="3"/>
  <c r="N13" i="3"/>
  <c r="K26" i="3"/>
  <c r="K27" i="3"/>
  <c r="K28" i="3"/>
  <c r="K29" i="3"/>
  <c r="K30" i="3"/>
  <c r="K31" i="3"/>
  <c r="K32" i="3"/>
  <c r="K33" i="3"/>
  <c r="K34" i="3"/>
  <c r="K35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F29" i="3"/>
  <c r="G29" i="3" s="1"/>
  <c r="F30" i="3"/>
  <c r="G30" i="3" s="1"/>
  <c r="F31" i="3"/>
  <c r="G31" i="3" s="1"/>
  <c r="F32" i="3"/>
  <c r="G32" i="3" s="1"/>
  <c r="F33" i="3"/>
  <c r="G33" i="3" s="1"/>
  <c r="F34" i="3"/>
  <c r="G34" i="3" s="1"/>
  <c r="F35" i="3"/>
  <c r="G35" i="3" s="1"/>
  <c r="F3" i="3"/>
  <c r="G3" i="3" s="1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F10" i="3"/>
  <c r="G10" i="3" s="1"/>
  <c r="F11" i="3"/>
  <c r="G11" i="3" s="1"/>
  <c r="F12" i="3"/>
  <c r="G12" i="3" s="1"/>
  <c r="F13" i="3"/>
  <c r="G13" i="3" s="1"/>
  <c r="F14" i="3"/>
  <c r="G14" i="3" s="1"/>
  <c r="F15" i="3"/>
  <c r="G15" i="3" s="1"/>
  <c r="F16" i="3"/>
  <c r="G16" i="3" s="1"/>
  <c r="F17" i="3"/>
  <c r="G17" i="3" s="1"/>
  <c r="F18" i="3"/>
  <c r="G18" i="3" s="1"/>
  <c r="F19" i="3"/>
  <c r="G19" i="3" s="1"/>
  <c r="F20" i="3"/>
  <c r="G20" i="3" s="1"/>
  <c r="F21" i="3"/>
  <c r="G21" i="3" s="1"/>
  <c r="F22" i="3"/>
  <c r="G22" i="3" s="1"/>
  <c r="F23" i="3"/>
  <c r="G23" i="3" s="1"/>
  <c r="F24" i="3"/>
  <c r="G24" i="3" s="1"/>
  <c r="F25" i="3"/>
  <c r="G25" i="3" s="1"/>
  <c r="F26" i="3"/>
  <c r="G26" i="3" s="1"/>
  <c r="F27" i="3"/>
  <c r="G27" i="3" s="1"/>
  <c r="F28" i="3"/>
  <c r="G28" i="3" s="1"/>
  <c r="F2" i="3"/>
  <c r="G2" i="3" s="1"/>
</calcChain>
</file>

<file path=xl/sharedStrings.xml><?xml version="1.0" encoding="utf-8"?>
<sst xmlns="http://schemas.openxmlformats.org/spreadsheetml/2006/main" count="526" uniqueCount="126">
  <si>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</si>
  <si>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</si>
  <si>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</si>
  <si>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</si>
  <si>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</si>
  <si>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</si>
  <si>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</si>
  <si>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</si>
  <si>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</si>
  <si>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</si>
  <si>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</si>
  <si>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</si>
  <si>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</si>
  <si>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</si>
  <si>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</si>
  <si>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</si>
  <si>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</si>
  <si>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</si>
  <si>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</si>
  <si>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</si>
  <si>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</si>
  <si>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</si>
  <si>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</si>
  <si>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</si>
  <si>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</si>
  <si>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</si>
  <si>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</si>
  <si>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</si>
  <si>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</si>
  <si>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</si>
  <si>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</si>
  <si>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</si>
  <si>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</si>
  <si>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</si>
  <si>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</si>
  <si>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</si>
  <si>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</si>
  <si>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</si>
  <si>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</si>
  <si>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</si>
  <si>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</si>
  <si>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</si>
  <si>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</si>
  <si>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</si>
  <si>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</si>
  <si>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</si>
  <si>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</si>
  <si>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</si>
  <si>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</si>
  <si>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</si>
  <si>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</si>
  <si>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</si>
  <si>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</si>
  <si>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</si>
  <si>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</si>
  <si>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</si>
  <si>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</si>
  <si>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</si>
  <si>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</si>
  <si>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</si>
  <si>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</si>
  <si>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</si>
  <si>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</si>
  <si>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</si>
  <si>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</si>
  <si>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</si>
  <si>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</si>
  <si>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</si>
  <si>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</si>
  <si>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</si>
  <si>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</si>
  <si>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</si>
  <si>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</si>
  <si>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</si>
  <si>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</si>
  <si>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</si>
  <si>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</si>
  <si>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</si>
  <si>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</si>
  <si>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</si>
  <si>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</si>
  <si>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</si>
  <si>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</si>
  <si>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</si>
  <si>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</si>
  <si>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</si>
  <si>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</si>
  <si>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</si>
  <si>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</si>
  <si>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</si>
  <si>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</si>
  <si>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</si>
  <si>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</si>
  <si>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</si>
  <si>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</si>
  <si>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</si>
  <si>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</si>
  <si>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</si>
  <si>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</si>
  <si>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</si>
  <si>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</si>
  <si>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</si>
  <si>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</si>
  <si>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</si>
  <si>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</si>
  <si>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</si>
  <si>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</si>
  <si>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</si>
  <si>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</si>
  <si>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</si>
  <si>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</si>
  <si>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</si>
  <si>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</si>
  <si>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</si>
  <si>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</si>
  <si>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</si>
  <si>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Imputed price</t>
  </si>
  <si>
    <t>Find &amp;Replace of product name</t>
  </si>
  <si>
    <t>Find and replace in category</t>
  </si>
  <si>
    <t>Imputed category</t>
  </si>
  <si>
    <t>Manufacturing date</t>
  </si>
  <si>
    <t>Country code</t>
  </si>
  <si>
    <t>Product Brand</t>
  </si>
  <si>
    <t>Price currency$</t>
  </si>
  <si>
    <t>Manufacturing date(DD-MM-YYYY)</t>
  </si>
  <si>
    <t>Price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</si>
</sst>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64" fontId="5" fillId="0" borderId="0" xfId="0" applyNumberFormat="1" applyFont="1"/>
    <xf numFmtId="0" fontId="8" fillId="2" borderId="0" xfId="0" applyFont="1" applyFill="1" applyAlignment="1">
      <alignment horizontal="center"/>
    </xf>
    <xf numFmtId="14" fontId="5" fillId="0" borderId="0" xfId="0" applyNumberFormat="1" applyFont="1"/>
    <xf numFmtId="164" fontId="0" fillId="0" borderId="0" xfId="0" applyNumberFormat="1"/>
    <xf numFmtId="0" fontId="5" fillId="0" borderId="0" xfId="0" applyNumberFormat="1" applyFont="1"/>
  </cellXfs>
  <cellStyles count="1">
    <cellStyle name="Normal" xfId="0" builtinId="0"/>
  </cellStyles>
  <dxfs count="7">
    <dxf>
      <fill>
        <patternFill>
          <bgColor rgb="FFAA9BCB"/>
        </patternFill>
      </fill>
    </dxf>
    <dxf>
      <fill>
        <patternFill>
          <bgColor rgb="FF99CCFF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AA9BCB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B1" workbookViewId="0">
      <selection activeCell="H14" sqref="H14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opLeftCell="A26" workbookViewId="0">
      <selection activeCell="H26" sqref="H26"/>
    </sheetView>
  </sheetViews>
  <sheetFormatPr defaultColWidth="12.6640625" defaultRowHeight="15" customHeight="1" x14ac:dyDescent="0.25"/>
  <cols>
    <col min="1" max="6" width="12.6640625" customWidth="1"/>
    <col min="7" max="7" width="14.77734375" customWidth="1"/>
    <col min="8" max="8" width="14" customWidth="1"/>
    <col min="9" max="9" width="18.5546875" customWidth="1"/>
    <col min="10" max="10" width="17.2187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/>
      <c r="H1" s="7"/>
      <c r="I1" s="7"/>
      <c r="J1" s="7"/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4C8FD-6DE4-42D7-9B68-43F3E34E0B81}">
  <dimension ref="A1:R49"/>
  <sheetViews>
    <sheetView tabSelected="1" topLeftCell="I1" workbookViewId="0">
      <selection activeCell="S10" sqref="S10"/>
    </sheetView>
  </sheetViews>
  <sheetFormatPr defaultRowHeight="13.2" x14ac:dyDescent="0.25"/>
  <cols>
    <col min="1" max="1" width="12" customWidth="1"/>
    <col min="2" max="2" width="14.109375" customWidth="1"/>
    <col min="3" max="3" width="31.33203125" customWidth="1"/>
    <col min="4" max="4" width="16" customWidth="1"/>
    <col min="5" max="5" width="10.77734375" customWidth="1"/>
    <col min="6" max="7" width="14.77734375" customWidth="1"/>
    <col min="8" max="8" width="11.33203125" customWidth="1"/>
    <col min="9" max="9" width="17.33203125" customWidth="1"/>
    <col min="10" max="10" width="28.88671875" customWidth="1"/>
    <col min="11" max="11" width="18.5546875" customWidth="1"/>
    <col min="12" max="12" width="18.88671875" customWidth="1"/>
    <col min="13" max="13" width="34.77734375" customWidth="1"/>
    <col min="14" max="14" width="19.21875" customWidth="1"/>
    <col min="15" max="15" width="27" customWidth="1"/>
    <col min="16" max="16" width="9.6640625" bestFit="1" customWidth="1"/>
    <col min="17" max="17" width="17.88671875" customWidth="1"/>
  </cols>
  <sheetData>
    <row r="1" spans="1:18" x14ac:dyDescent="0.25">
      <c r="A1" s="7" t="s">
        <v>19</v>
      </c>
      <c r="B1" s="7" t="s">
        <v>20</v>
      </c>
      <c r="C1" s="7" t="s">
        <v>117</v>
      </c>
      <c r="D1" s="7" t="s">
        <v>21</v>
      </c>
      <c r="E1" s="7" t="s">
        <v>22</v>
      </c>
      <c r="F1" s="7" t="s">
        <v>116</v>
      </c>
      <c r="G1" s="7" t="s">
        <v>123</v>
      </c>
      <c r="H1" s="7" t="s">
        <v>23</v>
      </c>
      <c r="I1" s="7" t="s">
        <v>24</v>
      </c>
      <c r="J1" s="7" t="s">
        <v>118</v>
      </c>
      <c r="K1" s="7" t="s">
        <v>119</v>
      </c>
      <c r="L1" s="7" t="s">
        <v>120</v>
      </c>
      <c r="M1" s="10" t="s">
        <v>124</v>
      </c>
      <c r="N1" s="7" t="s">
        <v>121</v>
      </c>
      <c r="O1" s="7" t="s">
        <v>122</v>
      </c>
      <c r="P1" s="10" t="s">
        <v>125</v>
      </c>
      <c r="Q1" s="10" t="s">
        <v>24</v>
      </c>
    </row>
    <row r="2" spans="1:18" x14ac:dyDescent="0.25">
      <c r="A2" s="5" t="s">
        <v>25</v>
      </c>
      <c r="B2" s="5" t="s">
        <v>26</v>
      </c>
      <c r="C2" s="5" t="s">
        <v>61</v>
      </c>
      <c r="D2" s="5" t="s">
        <v>27</v>
      </c>
      <c r="E2" s="5">
        <v>1000</v>
      </c>
      <c r="F2" s="5">
        <f>IF(ISBLANK(E2),AVERAGE($E$2:$E$35),E2)</f>
        <v>1000</v>
      </c>
      <c r="G2" s="9">
        <f>IF(ISBLANK(F2),AVERAGE($E$2:$E$35),F2)</f>
        <v>1000</v>
      </c>
      <c r="H2" s="5">
        <v>30</v>
      </c>
      <c r="I2" s="5" t="s">
        <v>28</v>
      </c>
      <c r="J2" s="5" t="s">
        <v>28</v>
      </c>
      <c r="K2" t="str">
        <f>IF(ISBLANK(J2),"Unknown",J2)</f>
        <v>Electronics</v>
      </c>
      <c r="L2" t="str">
        <f>LEFT(A2,6)</f>
        <v>28-JAN</v>
      </c>
      <c r="M2" s="11">
        <f>DATEVALUE(L2&amp;"-2026")</f>
        <v>46050</v>
      </c>
      <c r="N2" t="str">
        <f>RIGHT(A2,2)</f>
        <v>US</v>
      </c>
      <c r="O2" t="str">
        <f>CONCATENATE(D2," ",C2)</f>
        <v>Dell Laptop</v>
      </c>
      <c r="P2" s="13">
        <v>1000</v>
      </c>
      <c r="Q2" s="5" t="s">
        <v>28</v>
      </c>
    </row>
    <row r="3" spans="1:18" x14ac:dyDescent="0.25">
      <c r="A3" s="8" t="s">
        <v>29</v>
      </c>
      <c r="B3" s="8" t="s">
        <v>30</v>
      </c>
      <c r="C3" s="8" t="s">
        <v>30</v>
      </c>
      <c r="D3" s="8" t="s">
        <v>31</v>
      </c>
      <c r="E3" s="8">
        <v>80</v>
      </c>
      <c r="F3" s="5">
        <f>IF(ISBLANK(E3),AVERAGE($E$2:$E$35),E3)</f>
        <v>80</v>
      </c>
      <c r="G3" s="9">
        <f t="shared" ref="G3:G35" si="0">IF(ISBLANK(F3),AVERAGE($E$2:$E$35),F3)</f>
        <v>80</v>
      </c>
      <c r="H3" s="8">
        <v>15</v>
      </c>
      <c r="I3" s="8" t="s">
        <v>32</v>
      </c>
      <c r="J3" s="8" t="s">
        <v>32</v>
      </c>
      <c r="K3" t="str">
        <f t="shared" ref="K3:K35" si="1">IF(ISBLANK(J3),"Unknown",J3)</f>
        <v>Fashion</v>
      </c>
      <c r="L3" t="str">
        <f t="shared" ref="L3:L35" si="2">LEFT(A3,6)</f>
        <v>15-FEB</v>
      </c>
      <c r="M3" s="11">
        <f t="shared" ref="M3:M34" si="3">DATEVALUE(L3&amp;"-2026")</f>
        <v>46068</v>
      </c>
      <c r="N3" t="str">
        <f t="shared" ref="N3:N35" si="4">RIGHT(A3,2)</f>
        <v>US</v>
      </c>
      <c r="O3" t="str">
        <f t="shared" ref="O3:O35" si="5">CONCATENATE(D3," ",C3)</f>
        <v>Nike Sneakers</v>
      </c>
      <c r="P3" s="8">
        <v>80</v>
      </c>
      <c r="Q3" s="8" t="s">
        <v>32</v>
      </c>
    </row>
    <row r="4" spans="1:18" x14ac:dyDescent="0.25">
      <c r="A4" s="5" t="s">
        <v>33</v>
      </c>
      <c r="B4" s="5" t="s">
        <v>34</v>
      </c>
      <c r="C4" s="5" t="s">
        <v>34</v>
      </c>
      <c r="D4" s="5" t="s">
        <v>35</v>
      </c>
      <c r="E4" s="5">
        <v>130</v>
      </c>
      <c r="F4" s="5">
        <f>IF(ISBLANK(E4),AVERAGE($E$2:$E$35),E4)</f>
        <v>130</v>
      </c>
      <c r="G4" s="9">
        <f t="shared" si="0"/>
        <v>130</v>
      </c>
      <c r="H4" s="5">
        <v>40</v>
      </c>
      <c r="I4" s="5" t="s">
        <v>36</v>
      </c>
      <c r="J4" s="5" t="s">
        <v>36</v>
      </c>
      <c r="K4" t="str">
        <f t="shared" si="1"/>
        <v>Kitchen</v>
      </c>
      <c r="L4" t="str">
        <f t="shared" si="2"/>
        <v>03-MAR</v>
      </c>
      <c r="M4" s="11">
        <f t="shared" si="3"/>
        <v>46084</v>
      </c>
      <c r="N4" t="str">
        <f t="shared" si="4"/>
        <v>US</v>
      </c>
      <c r="O4" t="str">
        <f t="shared" si="5"/>
        <v>Keurig Coffee Maker</v>
      </c>
      <c r="P4" s="5">
        <v>130</v>
      </c>
      <c r="Q4" s="5" t="s">
        <v>36</v>
      </c>
    </row>
    <row r="5" spans="1:18" x14ac:dyDescent="0.25">
      <c r="A5" s="8" t="s">
        <v>37</v>
      </c>
      <c r="B5" s="8" t="s">
        <v>38</v>
      </c>
      <c r="C5" s="8" t="s">
        <v>96</v>
      </c>
      <c r="D5" s="8" t="s">
        <v>39</v>
      </c>
      <c r="E5" s="8">
        <v>900</v>
      </c>
      <c r="F5" s="5">
        <f>IF(ISBLANK(E5),AVERAGE($E$2:$E$35),E5)</f>
        <v>900</v>
      </c>
      <c r="G5" s="9">
        <f t="shared" si="0"/>
        <v>900</v>
      </c>
      <c r="H5" s="8">
        <v>25</v>
      </c>
      <c r="I5" s="8" t="s">
        <v>28</v>
      </c>
      <c r="J5" s="8" t="s">
        <v>28</v>
      </c>
      <c r="K5" t="str">
        <f t="shared" si="1"/>
        <v>Electronics</v>
      </c>
      <c r="L5" t="str">
        <f t="shared" si="2"/>
        <v>11-APR</v>
      </c>
      <c r="M5" s="11">
        <f t="shared" si="3"/>
        <v>46123</v>
      </c>
      <c r="N5" t="str">
        <f t="shared" si="4"/>
        <v>US</v>
      </c>
      <c r="O5" t="str">
        <f t="shared" si="5"/>
        <v>Samsung Smartphone</v>
      </c>
      <c r="P5" s="8">
        <v>900</v>
      </c>
      <c r="Q5" s="8" t="s">
        <v>28</v>
      </c>
    </row>
    <row r="6" spans="1:18" x14ac:dyDescent="0.25">
      <c r="A6" s="5" t="s">
        <v>40</v>
      </c>
      <c r="B6" s="5" t="s">
        <v>41</v>
      </c>
      <c r="C6" s="5" t="s">
        <v>41</v>
      </c>
      <c r="D6" s="5" t="s">
        <v>42</v>
      </c>
      <c r="E6" s="5">
        <v>70</v>
      </c>
      <c r="F6" s="5">
        <f>IF(ISBLANK(E6),AVERAGE($E$2:$E$35),E6)</f>
        <v>70</v>
      </c>
      <c r="G6" s="9">
        <f t="shared" si="0"/>
        <v>70</v>
      </c>
      <c r="H6" s="5">
        <v>20</v>
      </c>
      <c r="I6" s="5"/>
      <c r="J6" s="5"/>
      <c r="K6" t="str">
        <f t="shared" si="1"/>
        <v>Unknown</v>
      </c>
      <c r="L6" t="str">
        <f t="shared" si="2"/>
        <v>22-MAY</v>
      </c>
      <c r="M6" s="11">
        <f t="shared" si="3"/>
        <v>46164</v>
      </c>
      <c r="N6" t="str">
        <f t="shared" si="4"/>
        <v>US</v>
      </c>
      <c r="O6" t="str">
        <f t="shared" si="5"/>
        <v>North Face Backpack</v>
      </c>
      <c r="P6" s="5">
        <v>70</v>
      </c>
      <c r="Q6" s="5"/>
    </row>
    <row r="7" spans="1:18" x14ac:dyDescent="0.25">
      <c r="A7" s="8" t="s">
        <v>43</v>
      </c>
      <c r="B7" s="8" t="s">
        <v>44</v>
      </c>
      <c r="C7" s="8" t="s">
        <v>44</v>
      </c>
      <c r="D7" s="8" t="s">
        <v>45</v>
      </c>
      <c r="E7" s="8"/>
      <c r="F7" s="5">
        <f>IF(ISBLANK(E7),AVERAGE($E$2:$E$35),E7)</f>
        <v>309.35483870967744</v>
      </c>
      <c r="G7" s="9">
        <f t="shared" si="0"/>
        <v>309.35483870967744</v>
      </c>
      <c r="H7" s="8">
        <v>45</v>
      </c>
      <c r="I7" s="8" t="s">
        <v>46</v>
      </c>
      <c r="J7" s="8" t="s">
        <v>28</v>
      </c>
      <c r="K7" t="str">
        <f t="shared" si="1"/>
        <v>Electronics</v>
      </c>
      <c r="L7" t="str">
        <f t="shared" si="2"/>
        <v>07-JUN</v>
      </c>
      <c r="M7" s="11">
        <f t="shared" si="3"/>
        <v>46180</v>
      </c>
      <c r="N7" t="str">
        <f t="shared" si="4"/>
        <v>UK</v>
      </c>
      <c r="O7" t="str">
        <f t="shared" si="5"/>
        <v>Sony Headphones</v>
      </c>
      <c r="P7" s="8"/>
      <c r="Q7" s="8" t="s">
        <v>28</v>
      </c>
    </row>
    <row r="8" spans="1:18" x14ac:dyDescent="0.25">
      <c r="A8" s="5" t="s">
        <v>47</v>
      </c>
      <c r="B8" s="5" t="s">
        <v>48</v>
      </c>
      <c r="C8" s="5" t="s">
        <v>48</v>
      </c>
      <c r="D8" s="5" t="s">
        <v>49</v>
      </c>
      <c r="E8" s="5">
        <v>30</v>
      </c>
      <c r="F8" s="5">
        <f>IF(ISBLANK(E8),AVERAGE($E$2:$E$35),E8)</f>
        <v>30</v>
      </c>
      <c r="G8" s="9">
        <f t="shared" si="0"/>
        <v>30</v>
      </c>
      <c r="H8" s="5">
        <v>5</v>
      </c>
      <c r="I8" s="5" t="s">
        <v>32</v>
      </c>
      <c r="J8" s="5" t="s">
        <v>32</v>
      </c>
      <c r="K8" t="str">
        <f t="shared" si="1"/>
        <v>Fashion</v>
      </c>
      <c r="L8" t="str">
        <f t="shared" si="2"/>
        <v>19-JUL</v>
      </c>
      <c r="M8" s="11">
        <f t="shared" si="3"/>
        <v>46222</v>
      </c>
      <c r="N8" t="str">
        <f t="shared" si="4"/>
        <v>UK</v>
      </c>
      <c r="O8" t="str">
        <f t="shared" si="5"/>
        <v>Adidas T-shirt</v>
      </c>
      <c r="P8" s="5">
        <v>30</v>
      </c>
      <c r="Q8" s="5" t="s">
        <v>32</v>
      </c>
    </row>
    <row r="9" spans="1:18" x14ac:dyDescent="0.25">
      <c r="A9" s="8" t="s">
        <v>50</v>
      </c>
      <c r="B9" s="8" t="s">
        <v>51</v>
      </c>
      <c r="C9" s="8" t="s">
        <v>51</v>
      </c>
      <c r="D9" s="8" t="s">
        <v>52</v>
      </c>
      <c r="E9" s="8">
        <v>90</v>
      </c>
      <c r="F9" s="5">
        <f>IF(ISBLANK(E9),AVERAGE($E$2:$E$35),E9)</f>
        <v>90</v>
      </c>
      <c r="G9" s="9">
        <f t="shared" si="0"/>
        <v>90</v>
      </c>
      <c r="H9" s="8">
        <v>35</v>
      </c>
      <c r="I9" s="8" t="s">
        <v>36</v>
      </c>
      <c r="J9" s="8" t="s">
        <v>36</v>
      </c>
      <c r="K9" t="str">
        <f t="shared" si="1"/>
        <v>Kitchen</v>
      </c>
      <c r="L9" t="str">
        <f t="shared" si="2"/>
        <v>23-AUG</v>
      </c>
      <c r="M9" s="11">
        <f t="shared" si="3"/>
        <v>46257</v>
      </c>
      <c r="N9" t="str">
        <f t="shared" si="4"/>
        <v>UK</v>
      </c>
      <c r="O9" t="str">
        <f t="shared" si="5"/>
        <v>Ninja Blender</v>
      </c>
      <c r="P9" s="8">
        <v>90</v>
      </c>
      <c r="Q9" s="8" t="s">
        <v>36</v>
      </c>
      <c r="R9" s="12"/>
    </row>
    <row r="10" spans="1:18" x14ac:dyDescent="0.25">
      <c r="A10" s="5" t="s">
        <v>53</v>
      </c>
      <c r="B10" s="5" t="s">
        <v>54</v>
      </c>
      <c r="C10" s="5" t="s">
        <v>54</v>
      </c>
      <c r="D10" s="5" t="s">
        <v>55</v>
      </c>
      <c r="E10" s="5">
        <v>500</v>
      </c>
      <c r="F10" s="5">
        <f>IF(ISBLANK(E10),AVERAGE($E$2:$E$35),E10)</f>
        <v>500</v>
      </c>
      <c r="G10" s="9">
        <f t="shared" si="0"/>
        <v>500</v>
      </c>
      <c r="H10" s="5">
        <v>50</v>
      </c>
      <c r="I10" s="5" t="s">
        <v>28</v>
      </c>
      <c r="J10" s="5" t="s">
        <v>28</v>
      </c>
      <c r="K10" t="str">
        <f t="shared" si="1"/>
        <v>Electronics</v>
      </c>
      <c r="L10" t="str">
        <f t="shared" si="2"/>
        <v>05-SEP</v>
      </c>
      <c r="M10" s="11">
        <f t="shared" si="3"/>
        <v>46270</v>
      </c>
      <c r="N10" t="str">
        <f t="shared" si="4"/>
        <v>UK</v>
      </c>
      <c r="O10" t="str">
        <f t="shared" si="5"/>
        <v>Apple Tablet</v>
      </c>
      <c r="P10" s="5">
        <v>500</v>
      </c>
      <c r="Q10" s="5" t="s">
        <v>28</v>
      </c>
    </row>
    <row r="11" spans="1:18" x14ac:dyDescent="0.25">
      <c r="A11" s="8" t="s">
        <v>56</v>
      </c>
      <c r="B11" s="8" t="s">
        <v>57</v>
      </c>
      <c r="C11" s="8" t="s">
        <v>57</v>
      </c>
      <c r="D11" s="8" t="s">
        <v>58</v>
      </c>
      <c r="E11" s="8">
        <v>130</v>
      </c>
      <c r="F11" s="5">
        <f>IF(ISBLANK(E11),AVERAGE($E$2:$E$35),E11)</f>
        <v>130</v>
      </c>
      <c r="G11" s="9">
        <f t="shared" si="0"/>
        <v>130</v>
      </c>
      <c r="H11" s="8">
        <v>10</v>
      </c>
      <c r="I11" s="8" t="s">
        <v>59</v>
      </c>
      <c r="J11" s="8" t="s">
        <v>59</v>
      </c>
      <c r="K11" t="str">
        <f t="shared" si="1"/>
        <v>Outdoor</v>
      </c>
      <c r="L11" t="str">
        <f t="shared" si="2"/>
        <v>14-OCT</v>
      </c>
      <c r="M11" s="11">
        <f t="shared" si="3"/>
        <v>46309</v>
      </c>
      <c r="N11" t="str">
        <f t="shared" si="4"/>
        <v>UK</v>
      </c>
      <c r="O11" t="str">
        <f t="shared" si="5"/>
        <v>Timberland Hiking Boots</v>
      </c>
      <c r="P11" s="8">
        <v>130</v>
      </c>
      <c r="Q11" s="8" t="s">
        <v>59</v>
      </c>
    </row>
    <row r="12" spans="1:18" x14ac:dyDescent="0.25">
      <c r="A12" s="5" t="s">
        <v>60</v>
      </c>
      <c r="B12" s="5" t="s">
        <v>61</v>
      </c>
      <c r="C12" s="5" t="s">
        <v>61</v>
      </c>
      <c r="D12" s="5" t="s">
        <v>62</v>
      </c>
      <c r="E12" s="5">
        <v>950</v>
      </c>
      <c r="F12" s="5">
        <f>IF(ISBLANK(E12),AVERAGE($E$2:$E$35),E12)</f>
        <v>950</v>
      </c>
      <c r="G12" s="9">
        <f t="shared" si="0"/>
        <v>950</v>
      </c>
      <c r="H12" s="5">
        <v>25</v>
      </c>
      <c r="I12" s="5" t="s">
        <v>28</v>
      </c>
      <c r="J12" s="5" t="s">
        <v>28</v>
      </c>
      <c r="K12" t="str">
        <f t="shared" si="1"/>
        <v>Electronics</v>
      </c>
      <c r="L12" t="str">
        <f t="shared" si="2"/>
        <v>17-JUN</v>
      </c>
      <c r="M12" s="11">
        <f t="shared" si="3"/>
        <v>46190</v>
      </c>
      <c r="N12" t="str">
        <f t="shared" si="4"/>
        <v>IN</v>
      </c>
      <c r="O12" t="str">
        <f t="shared" si="5"/>
        <v>HP Laptop</v>
      </c>
      <c r="P12" s="5">
        <v>950</v>
      </c>
      <c r="Q12" s="5" t="s">
        <v>28</v>
      </c>
    </row>
    <row r="13" spans="1:18" x14ac:dyDescent="0.25">
      <c r="A13" s="8" t="s">
        <v>63</v>
      </c>
      <c r="B13" s="8" t="s">
        <v>30</v>
      </c>
      <c r="C13" s="8" t="s">
        <v>30</v>
      </c>
      <c r="D13" s="8" t="s">
        <v>49</v>
      </c>
      <c r="E13" s="8">
        <v>90</v>
      </c>
      <c r="F13" s="5">
        <f>IF(ISBLANK(E13),AVERAGE($E$2:$E$35),E13)</f>
        <v>90</v>
      </c>
      <c r="G13" s="9">
        <f t="shared" si="0"/>
        <v>90</v>
      </c>
      <c r="H13" s="8">
        <v>40</v>
      </c>
      <c r="I13" s="8"/>
      <c r="J13" s="8"/>
      <c r="K13" t="str">
        <f t="shared" si="1"/>
        <v>Unknown</v>
      </c>
      <c r="L13" t="str">
        <f t="shared" si="2"/>
        <v>25-NOV</v>
      </c>
      <c r="M13" s="11">
        <f t="shared" si="3"/>
        <v>46351</v>
      </c>
      <c r="N13" t="str">
        <f t="shared" si="4"/>
        <v>AU</v>
      </c>
      <c r="O13" t="str">
        <f t="shared" si="5"/>
        <v>Adidas Sneakers</v>
      </c>
      <c r="P13" s="8">
        <v>90</v>
      </c>
      <c r="Q13" s="8"/>
    </row>
    <row r="14" spans="1:18" x14ac:dyDescent="0.25">
      <c r="A14" s="5" t="s">
        <v>64</v>
      </c>
      <c r="B14" s="5" t="s">
        <v>34</v>
      </c>
      <c r="C14" s="5" t="s">
        <v>34</v>
      </c>
      <c r="D14" s="5" t="s">
        <v>65</v>
      </c>
      <c r="E14" s="5">
        <v>120</v>
      </c>
      <c r="F14" s="5">
        <f>IF(ISBLANK(E14),AVERAGE($E$2:$E$35),E14)</f>
        <v>120</v>
      </c>
      <c r="G14" s="9">
        <f t="shared" si="0"/>
        <v>120</v>
      </c>
      <c r="H14" s="5">
        <v>35</v>
      </c>
      <c r="I14" s="5"/>
      <c r="J14" s="5"/>
      <c r="K14" t="str">
        <f t="shared" si="1"/>
        <v>Unknown</v>
      </c>
      <c r="L14" t="str">
        <f t="shared" si="2"/>
        <v>08-DEC</v>
      </c>
      <c r="M14" s="11">
        <f t="shared" si="3"/>
        <v>46364</v>
      </c>
      <c r="N14" t="str">
        <f t="shared" si="4"/>
        <v>DE</v>
      </c>
      <c r="O14" t="str">
        <f t="shared" si="5"/>
        <v>Nespresso Coffee Maker</v>
      </c>
      <c r="P14" s="5">
        <v>120</v>
      </c>
      <c r="Q14" s="5"/>
    </row>
    <row r="15" spans="1:18" x14ac:dyDescent="0.25">
      <c r="A15" s="8" t="s">
        <v>66</v>
      </c>
      <c r="B15" s="8" t="s">
        <v>67</v>
      </c>
      <c r="C15" s="8" t="s">
        <v>67</v>
      </c>
      <c r="D15" s="8" t="s">
        <v>68</v>
      </c>
      <c r="E15" s="8">
        <v>150</v>
      </c>
      <c r="F15" s="5">
        <f>IF(ISBLANK(E15),AVERAGE($E$2:$E$35),E15)</f>
        <v>150</v>
      </c>
      <c r="G15" s="9">
        <f t="shared" si="0"/>
        <v>150</v>
      </c>
      <c r="H15" s="8">
        <v>15</v>
      </c>
      <c r="I15" s="8" t="s">
        <v>46</v>
      </c>
      <c r="J15" s="8" t="s">
        <v>28</v>
      </c>
      <c r="K15" t="str">
        <f t="shared" si="1"/>
        <v>Electronics</v>
      </c>
      <c r="L15" t="str">
        <f t="shared" si="2"/>
        <v>18-FEB</v>
      </c>
      <c r="M15" s="11">
        <f>DATEVALUE(L15&amp;"-2026")</f>
        <v>46071</v>
      </c>
      <c r="N15" t="str">
        <f t="shared" si="4"/>
        <v>CA</v>
      </c>
      <c r="O15" t="str">
        <f t="shared" si="5"/>
        <v>Fitbit Smartwatch</v>
      </c>
      <c r="P15" s="8">
        <v>150</v>
      </c>
      <c r="Q15" s="8" t="s">
        <v>28</v>
      </c>
    </row>
    <row r="16" spans="1:18" x14ac:dyDescent="0.25">
      <c r="A16" s="5" t="s">
        <v>69</v>
      </c>
      <c r="B16" s="5" t="s">
        <v>70</v>
      </c>
      <c r="C16" s="5" t="s">
        <v>44</v>
      </c>
      <c r="D16" s="5" t="s">
        <v>71</v>
      </c>
      <c r="E16" s="5">
        <v>250</v>
      </c>
      <c r="F16" s="5">
        <f>IF(ISBLANK(E16),AVERAGE($E$2:$E$35),E16)</f>
        <v>250</v>
      </c>
      <c r="G16" s="9">
        <f t="shared" si="0"/>
        <v>250</v>
      </c>
      <c r="H16" s="5">
        <v>20</v>
      </c>
      <c r="I16" s="5" t="s">
        <v>46</v>
      </c>
      <c r="J16" s="5" t="s">
        <v>28</v>
      </c>
      <c r="K16" t="str">
        <f t="shared" si="1"/>
        <v>Electronics</v>
      </c>
      <c r="L16" t="str">
        <f t="shared" si="2"/>
        <v>16-APR</v>
      </c>
      <c r="M16" s="11">
        <f t="shared" si="3"/>
        <v>46128</v>
      </c>
      <c r="N16" t="str">
        <f t="shared" si="4"/>
        <v>ES</v>
      </c>
      <c r="O16" t="str">
        <f t="shared" si="5"/>
        <v>Bose Headphones</v>
      </c>
      <c r="P16" s="5">
        <v>250</v>
      </c>
      <c r="Q16" s="5" t="s">
        <v>28</v>
      </c>
    </row>
    <row r="17" spans="1:17" x14ac:dyDescent="0.25">
      <c r="A17" s="8" t="s">
        <v>72</v>
      </c>
      <c r="B17" s="8" t="s">
        <v>73</v>
      </c>
      <c r="C17" s="8" t="s">
        <v>73</v>
      </c>
      <c r="D17" s="8" t="s">
        <v>74</v>
      </c>
      <c r="E17" s="8">
        <v>50</v>
      </c>
      <c r="F17" s="5">
        <f>IF(ISBLANK(E17),AVERAGE($E$2:$E$35),E17)</f>
        <v>50</v>
      </c>
      <c r="G17" s="9">
        <f t="shared" si="0"/>
        <v>50</v>
      </c>
      <c r="H17" s="8">
        <v>35</v>
      </c>
      <c r="I17" s="8" t="s">
        <v>75</v>
      </c>
      <c r="J17" s="8" t="s">
        <v>75</v>
      </c>
      <c r="K17" t="str">
        <f t="shared" si="1"/>
        <v>Accessories</v>
      </c>
      <c r="L17" t="str">
        <f t="shared" si="2"/>
        <v>21-AUG</v>
      </c>
      <c r="M17" s="11">
        <f t="shared" si="3"/>
        <v>46255</v>
      </c>
      <c r="N17" t="str">
        <f t="shared" si="4"/>
        <v>CA</v>
      </c>
      <c r="O17" t="str">
        <f t="shared" si="5"/>
        <v>Samsonite Laptop Bag</v>
      </c>
      <c r="P17" s="8">
        <v>50</v>
      </c>
      <c r="Q17" s="8" t="s">
        <v>75</v>
      </c>
    </row>
    <row r="18" spans="1:17" x14ac:dyDescent="0.25">
      <c r="A18" s="5" t="s">
        <v>76</v>
      </c>
      <c r="B18" s="5" t="s">
        <v>67</v>
      </c>
      <c r="C18" s="5" t="s">
        <v>67</v>
      </c>
      <c r="D18" s="5" t="s">
        <v>77</v>
      </c>
      <c r="E18" s="5">
        <v>160</v>
      </c>
      <c r="F18" s="5">
        <f>IF(ISBLANK(E18),AVERAGE($E$2:$E$35),E18)</f>
        <v>160</v>
      </c>
      <c r="G18" s="9">
        <f t="shared" si="0"/>
        <v>160</v>
      </c>
      <c r="H18" s="5">
        <v>15</v>
      </c>
      <c r="I18" s="5" t="s">
        <v>46</v>
      </c>
      <c r="J18" s="5" t="s">
        <v>28</v>
      </c>
      <c r="K18" t="str">
        <f t="shared" si="1"/>
        <v>Electronics</v>
      </c>
      <c r="L18" t="str">
        <f t="shared" si="2"/>
        <v>20-AUG</v>
      </c>
      <c r="M18" s="11">
        <f t="shared" si="3"/>
        <v>46254</v>
      </c>
      <c r="N18" t="str">
        <f t="shared" si="4"/>
        <v>CN</v>
      </c>
      <c r="O18" t="str">
        <f t="shared" si="5"/>
        <v>Huawei Smartwatch</v>
      </c>
      <c r="P18" s="5">
        <v>160</v>
      </c>
      <c r="Q18" s="5" t="s">
        <v>28</v>
      </c>
    </row>
    <row r="19" spans="1:17" x14ac:dyDescent="0.25">
      <c r="A19" s="8" t="s">
        <v>78</v>
      </c>
      <c r="B19" s="8" t="s">
        <v>26</v>
      </c>
      <c r="C19" s="8" t="s">
        <v>61</v>
      </c>
      <c r="D19" s="8" t="s">
        <v>79</v>
      </c>
      <c r="E19" s="8">
        <v>980</v>
      </c>
      <c r="F19" s="5">
        <f>IF(ISBLANK(E19),AVERAGE($E$2:$E$35),E19)</f>
        <v>980</v>
      </c>
      <c r="G19" s="9">
        <f t="shared" si="0"/>
        <v>980</v>
      </c>
      <c r="H19" s="8">
        <v>10</v>
      </c>
      <c r="I19" s="8" t="s">
        <v>28</v>
      </c>
      <c r="J19" s="8" t="s">
        <v>28</v>
      </c>
      <c r="K19" t="str">
        <f t="shared" si="1"/>
        <v>Electronics</v>
      </c>
      <c r="L19" t="str">
        <f t="shared" si="2"/>
        <v>27-JAN</v>
      </c>
      <c r="M19" s="11">
        <f t="shared" si="3"/>
        <v>46049</v>
      </c>
      <c r="N19" t="str">
        <f t="shared" si="4"/>
        <v>IT</v>
      </c>
      <c r="O19" t="str">
        <f t="shared" si="5"/>
        <v>Asus Laptop</v>
      </c>
      <c r="P19" s="8">
        <v>980</v>
      </c>
      <c r="Q19" s="8" t="s">
        <v>28</v>
      </c>
    </row>
    <row r="20" spans="1:17" x14ac:dyDescent="0.25">
      <c r="A20" s="5" t="s">
        <v>80</v>
      </c>
      <c r="B20" s="5" t="s">
        <v>81</v>
      </c>
      <c r="C20" s="5" t="s">
        <v>81</v>
      </c>
      <c r="D20" s="5" t="s">
        <v>82</v>
      </c>
      <c r="E20" s="5">
        <v>150</v>
      </c>
      <c r="F20" s="5">
        <f>IF(ISBLANK(E20),AVERAGE($E$2:$E$35),E20)</f>
        <v>150</v>
      </c>
      <c r="G20" s="9">
        <f t="shared" si="0"/>
        <v>150</v>
      </c>
      <c r="H20" s="5">
        <v>15</v>
      </c>
      <c r="I20" s="5" t="s">
        <v>32</v>
      </c>
      <c r="J20" s="5" t="s">
        <v>32</v>
      </c>
      <c r="K20" t="str">
        <f t="shared" si="1"/>
        <v>Fashion</v>
      </c>
      <c r="L20" t="str">
        <f t="shared" si="2"/>
        <v>01-MAR</v>
      </c>
      <c r="M20" s="11">
        <f t="shared" si="3"/>
        <v>46082</v>
      </c>
      <c r="N20" t="str">
        <f t="shared" si="4"/>
        <v>UK</v>
      </c>
      <c r="O20" t="str">
        <f t="shared" si="5"/>
        <v>Oakley Sunglasses</v>
      </c>
      <c r="P20" s="5">
        <v>150</v>
      </c>
      <c r="Q20" s="5" t="s">
        <v>32</v>
      </c>
    </row>
    <row r="21" spans="1:17" x14ac:dyDescent="0.25">
      <c r="A21" s="8" t="s">
        <v>83</v>
      </c>
      <c r="B21" s="8" t="s">
        <v>84</v>
      </c>
      <c r="C21" s="8" t="s">
        <v>84</v>
      </c>
      <c r="D21" s="8" t="s">
        <v>85</v>
      </c>
      <c r="E21" s="8"/>
      <c r="F21" s="5">
        <f>IF(ISBLANK(E21),AVERAGE($E$2:$E$35),E21)</f>
        <v>309.35483870967744</v>
      </c>
      <c r="G21" s="9">
        <f t="shared" si="0"/>
        <v>309.35483870967744</v>
      </c>
      <c r="H21" s="8">
        <v>10</v>
      </c>
      <c r="I21" s="8" t="s">
        <v>59</v>
      </c>
      <c r="J21" s="8" t="s">
        <v>59</v>
      </c>
      <c r="K21" t="str">
        <f t="shared" si="1"/>
        <v>Outdoor</v>
      </c>
      <c r="L21" t="str">
        <f t="shared" si="2"/>
        <v>14-AUG</v>
      </c>
      <c r="M21" s="11">
        <f t="shared" si="3"/>
        <v>46248</v>
      </c>
      <c r="N21" t="str">
        <f t="shared" si="4"/>
        <v>US</v>
      </c>
      <c r="O21" t="str">
        <f t="shared" si="5"/>
        <v>Coleman Camping Tent</v>
      </c>
      <c r="P21" s="8"/>
      <c r="Q21" s="8" t="s">
        <v>59</v>
      </c>
    </row>
    <row r="22" spans="1:17" x14ac:dyDescent="0.25">
      <c r="A22" s="5" t="s">
        <v>86</v>
      </c>
      <c r="B22" s="5" t="s">
        <v>87</v>
      </c>
      <c r="C22" s="5" t="s">
        <v>87</v>
      </c>
      <c r="D22" s="5" t="s">
        <v>88</v>
      </c>
      <c r="E22" s="5">
        <v>700</v>
      </c>
      <c r="F22" s="5">
        <f>IF(ISBLANK(E22),AVERAGE($E$2:$E$35),E22)</f>
        <v>700</v>
      </c>
      <c r="G22" s="9">
        <f t="shared" si="0"/>
        <v>700</v>
      </c>
      <c r="H22" s="5">
        <v>50</v>
      </c>
      <c r="I22" s="5" t="s">
        <v>28</v>
      </c>
      <c r="J22" s="5" t="s">
        <v>28</v>
      </c>
      <c r="K22" t="str">
        <f t="shared" si="1"/>
        <v>Electronics</v>
      </c>
      <c r="L22" t="str">
        <f t="shared" si="2"/>
        <v>14-MAY</v>
      </c>
      <c r="M22" s="11">
        <f t="shared" si="3"/>
        <v>46156</v>
      </c>
      <c r="N22" t="str">
        <f t="shared" si="4"/>
        <v>RU</v>
      </c>
      <c r="O22" t="str">
        <f t="shared" si="5"/>
        <v>Nikon Camera</v>
      </c>
      <c r="P22" s="5">
        <v>700</v>
      </c>
      <c r="Q22" s="5" t="s">
        <v>28</v>
      </c>
    </row>
    <row r="23" spans="1:17" x14ac:dyDescent="0.25">
      <c r="A23" s="8" t="s">
        <v>89</v>
      </c>
      <c r="B23" s="8" t="s">
        <v>90</v>
      </c>
      <c r="C23" s="8" t="s">
        <v>90</v>
      </c>
      <c r="D23" s="8" t="s">
        <v>91</v>
      </c>
      <c r="E23" s="8">
        <v>80</v>
      </c>
      <c r="F23" s="5">
        <f>IF(ISBLANK(E23),AVERAGE($E$2:$E$35),E23)</f>
        <v>80</v>
      </c>
      <c r="G23" s="9">
        <f t="shared" si="0"/>
        <v>80</v>
      </c>
      <c r="H23" s="8">
        <v>20</v>
      </c>
      <c r="I23" s="8" t="s">
        <v>36</v>
      </c>
      <c r="J23" s="8" t="s">
        <v>36</v>
      </c>
      <c r="K23" t="str">
        <f t="shared" si="1"/>
        <v>Kitchen</v>
      </c>
      <c r="L23" t="str">
        <f t="shared" si="2"/>
        <v>09-JAN</v>
      </c>
      <c r="M23" s="11">
        <f t="shared" si="3"/>
        <v>46031</v>
      </c>
      <c r="N23" t="str">
        <f t="shared" si="4"/>
        <v>CA</v>
      </c>
      <c r="O23" t="str">
        <f t="shared" si="5"/>
        <v>Panasonic Microwave</v>
      </c>
      <c r="P23" s="8">
        <v>80</v>
      </c>
      <c r="Q23" s="8" t="s">
        <v>36</v>
      </c>
    </row>
    <row r="24" spans="1:17" x14ac:dyDescent="0.25">
      <c r="A24" s="5" t="s">
        <v>92</v>
      </c>
      <c r="B24" s="5" t="s">
        <v>93</v>
      </c>
      <c r="C24" s="5" t="s">
        <v>93</v>
      </c>
      <c r="D24" s="5" t="s">
        <v>94</v>
      </c>
      <c r="E24" s="5">
        <v>150</v>
      </c>
      <c r="F24" s="5">
        <f>IF(ISBLANK(E24),AVERAGE($E$2:$E$35),E24)</f>
        <v>150</v>
      </c>
      <c r="G24" s="9">
        <f t="shared" si="0"/>
        <v>150</v>
      </c>
      <c r="H24" s="5">
        <v>30</v>
      </c>
      <c r="I24" s="5"/>
      <c r="J24" s="5"/>
      <c r="K24" t="str">
        <f t="shared" si="1"/>
        <v>Unknown</v>
      </c>
      <c r="L24" t="str">
        <f t="shared" si="2"/>
        <v>19-JUL</v>
      </c>
      <c r="M24" s="11">
        <f t="shared" si="3"/>
        <v>46222</v>
      </c>
      <c r="N24" t="str">
        <f t="shared" si="4"/>
        <v>BR</v>
      </c>
      <c r="O24" t="str">
        <f t="shared" si="5"/>
        <v>Xiaomi Fitness Tracker</v>
      </c>
      <c r="P24" s="5">
        <v>150</v>
      </c>
      <c r="Q24" s="5"/>
    </row>
    <row r="25" spans="1:17" x14ac:dyDescent="0.25">
      <c r="A25" s="8" t="s">
        <v>72</v>
      </c>
      <c r="B25" s="8" t="s">
        <v>73</v>
      </c>
      <c r="C25" s="8" t="s">
        <v>73</v>
      </c>
      <c r="D25" s="8" t="s">
        <v>74</v>
      </c>
      <c r="E25" s="8">
        <v>50</v>
      </c>
      <c r="F25" s="5">
        <f>IF(ISBLANK(E25),AVERAGE($E$2:$E$35),E25)</f>
        <v>50</v>
      </c>
      <c r="G25" s="9">
        <f>IF(ISBLANK(F25),AVERAGE($E$2:$E$35),F25)</f>
        <v>50</v>
      </c>
      <c r="H25" s="8">
        <v>35</v>
      </c>
      <c r="I25" s="8" t="s">
        <v>75</v>
      </c>
      <c r="J25" s="8" t="s">
        <v>75</v>
      </c>
      <c r="K25" t="str">
        <f t="shared" si="1"/>
        <v>Accessories</v>
      </c>
      <c r="L25" t="str">
        <f t="shared" si="2"/>
        <v>21-AUG</v>
      </c>
      <c r="M25" s="11">
        <f t="shared" si="3"/>
        <v>46255</v>
      </c>
      <c r="N25" t="str">
        <f t="shared" si="4"/>
        <v>CA</v>
      </c>
      <c r="O25" t="str">
        <f t="shared" si="5"/>
        <v>Samsonite Laptop Bag</v>
      </c>
      <c r="P25" s="8">
        <v>50</v>
      </c>
      <c r="Q25" s="8" t="s">
        <v>75</v>
      </c>
    </row>
    <row r="26" spans="1:17" x14ac:dyDescent="0.25">
      <c r="A26" s="5" t="s">
        <v>95</v>
      </c>
      <c r="B26" s="5" t="s">
        <v>96</v>
      </c>
      <c r="C26" s="5" t="s">
        <v>96</v>
      </c>
      <c r="D26" s="5" t="s">
        <v>97</v>
      </c>
      <c r="E26" s="5">
        <v>800</v>
      </c>
      <c r="F26" s="5">
        <f>IF(ISBLANK(E26),AVERAGE($E$2:$E$35),E26)</f>
        <v>800</v>
      </c>
      <c r="G26" s="9">
        <f t="shared" si="0"/>
        <v>800</v>
      </c>
      <c r="H26" s="5">
        <v>45</v>
      </c>
      <c r="I26" s="5" t="s">
        <v>28</v>
      </c>
      <c r="J26" s="5" t="s">
        <v>28</v>
      </c>
      <c r="K26" t="str">
        <f>IF(ISBLANK(J26),"Unknown",J26)</f>
        <v>Electronics</v>
      </c>
      <c r="L26" t="str">
        <f t="shared" si="2"/>
        <v>29-SEP</v>
      </c>
      <c r="M26" s="11">
        <f t="shared" si="3"/>
        <v>46294</v>
      </c>
      <c r="N26" t="str">
        <f t="shared" si="4"/>
        <v>CA</v>
      </c>
      <c r="O26" t="str">
        <f t="shared" si="5"/>
        <v>Google Smartphone</v>
      </c>
      <c r="P26" s="5">
        <v>800</v>
      </c>
      <c r="Q26" s="5" t="s">
        <v>28</v>
      </c>
    </row>
    <row r="27" spans="1:17" x14ac:dyDescent="0.25">
      <c r="A27" s="8" t="s">
        <v>98</v>
      </c>
      <c r="B27" s="8" t="s">
        <v>81</v>
      </c>
      <c r="C27" s="8" t="s">
        <v>81</v>
      </c>
      <c r="D27" s="8" t="s">
        <v>99</v>
      </c>
      <c r="E27" s="8"/>
      <c r="F27" s="5">
        <f>IF(ISBLANK(E27),AVERAGE($E$2:$E$35),E27)</f>
        <v>309.35483870967744</v>
      </c>
      <c r="G27" s="9">
        <f t="shared" si="0"/>
        <v>309.35483870967744</v>
      </c>
      <c r="H27" s="8">
        <v>25</v>
      </c>
      <c r="I27" s="8" t="s">
        <v>32</v>
      </c>
      <c r="J27" s="8" t="s">
        <v>32</v>
      </c>
      <c r="K27" t="str">
        <f t="shared" si="1"/>
        <v>Fashion</v>
      </c>
      <c r="L27" t="str">
        <f t="shared" si="2"/>
        <v>03-JUN</v>
      </c>
      <c r="M27" s="11">
        <f t="shared" si="3"/>
        <v>46176</v>
      </c>
      <c r="N27" t="str">
        <f t="shared" si="4"/>
        <v>CA</v>
      </c>
      <c r="O27" t="str">
        <f t="shared" si="5"/>
        <v>Ray-Ban Sunglasses</v>
      </c>
      <c r="P27" s="8"/>
      <c r="Q27" s="8" t="s">
        <v>32</v>
      </c>
    </row>
    <row r="28" spans="1:17" x14ac:dyDescent="0.25">
      <c r="A28" s="5" t="s">
        <v>100</v>
      </c>
      <c r="B28" s="5" t="s">
        <v>51</v>
      </c>
      <c r="C28" s="5" t="s">
        <v>51</v>
      </c>
      <c r="D28" s="5" t="s">
        <v>101</v>
      </c>
      <c r="E28" s="5">
        <v>400</v>
      </c>
      <c r="F28" s="5">
        <f>IF(ISBLANK(E28),AVERAGE($E$2:$E$35),E28)</f>
        <v>400</v>
      </c>
      <c r="G28" s="9">
        <f t="shared" si="0"/>
        <v>400</v>
      </c>
      <c r="H28" s="5">
        <v>40</v>
      </c>
      <c r="I28" s="5" t="s">
        <v>36</v>
      </c>
      <c r="J28" s="5" t="s">
        <v>36</v>
      </c>
      <c r="K28" t="str">
        <f t="shared" si="1"/>
        <v>Kitchen</v>
      </c>
      <c r="L28" t="str">
        <f t="shared" si="2"/>
        <v>11-JUL</v>
      </c>
      <c r="M28" s="11">
        <f>DATEVALUE(L28&amp;"-2026")</f>
        <v>46214</v>
      </c>
      <c r="N28" t="str">
        <f t="shared" si="4"/>
        <v>CA</v>
      </c>
      <c r="O28" t="str">
        <f t="shared" si="5"/>
        <v>Vitamix Blender</v>
      </c>
      <c r="P28" s="5">
        <v>400</v>
      </c>
      <c r="Q28" s="5" t="s">
        <v>36</v>
      </c>
    </row>
    <row r="29" spans="1:17" x14ac:dyDescent="0.25">
      <c r="A29" s="8" t="s">
        <v>69</v>
      </c>
      <c r="B29" s="8" t="s">
        <v>70</v>
      </c>
      <c r="C29" s="8" t="s">
        <v>44</v>
      </c>
      <c r="D29" s="8" t="s">
        <v>71</v>
      </c>
      <c r="E29" s="8">
        <v>250</v>
      </c>
      <c r="F29" s="5">
        <f>IF(ISBLANK(E29),AVERAGE($E$2:$E$35),E29)</f>
        <v>250</v>
      </c>
      <c r="G29" s="9">
        <f t="shared" si="0"/>
        <v>250</v>
      </c>
      <c r="H29" s="8">
        <v>20</v>
      </c>
      <c r="I29" s="8" t="s">
        <v>46</v>
      </c>
      <c r="J29" s="8" t="s">
        <v>28</v>
      </c>
      <c r="K29" t="str">
        <f t="shared" si="1"/>
        <v>Electronics</v>
      </c>
      <c r="L29" t="str">
        <f t="shared" si="2"/>
        <v>16-APR</v>
      </c>
      <c r="M29" s="11">
        <f t="shared" si="3"/>
        <v>46128</v>
      </c>
      <c r="N29" t="str">
        <f>RIGHT(A29,2)</f>
        <v>ES</v>
      </c>
      <c r="O29" t="str">
        <f t="shared" si="5"/>
        <v>Bose Headphones</v>
      </c>
      <c r="P29" s="8">
        <v>250</v>
      </c>
      <c r="Q29" s="8" t="s">
        <v>28</v>
      </c>
    </row>
    <row r="30" spans="1:17" x14ac:dyDescent="0.25">
      <c r="A30" s="5" t="s">
        <v>102</v>
      </c>
      <c r="B30" s="5" t="s">
        <v>103</v>
      </c>
      <c r="C30" s="5" t="s">
        <v>103</v>
      </c>
      <c r="D30" s="5" t="s">
        <v>104</v>
      </c>
      <c r="E30" s="5">
        <v>60</v>
      </c>
      <c r="F30" s="5">
        <f>IF(ISBLANK(E30),AVERAGE($E$2:$E$35),E30)</f>
        <v>60</v>
      </c>
      <c r="G30" s="9">
        <f t="shared" si="0"/>
        <v>60</v>
      </c>
      <c r="H30" s="5">
        <v>30</v>
      </c>
      <c r="I30" s="5" t="s">
        <v>32</v>
      </c>
      <c r="J30" s="5" t="s">
        <v>32</v>
      </c>
      <c r="K30" t="str">
        <f t="shared" si="1"/>
        <v>Fashion</v>
      </c>
      <c r="L30" t="str">
        <f t="shared" si="2"/>
        <v>07-MAR</v>
      </c>
      <c r="M30" s="11">
        <f t="shared" si="3"/>
        <v>46088</v>
      </c>
      <c r="N30" t="str">
        <f t="shared" si="4"/>
        <v>CA</v>
      </c>
      <c r="O30" t="str">
        <f t="shared" si="5"/>
        <v>Zara Dress</v>
      </c>
      <c r="P30" s="5">
        <v>60</v>
      </c>
      <c r="Q30" s="5" t="s">
        <v>32</v>
      </c>
    </row>
    <row r="31" spans="1:17" x14ac:dyDescent="0.25">
      <c r="A31" s="8" t="s">
        <v>105</v>
      </c>
      <c r="B31" s="8" t="s">
        <v>106</v>
      </c>
      <c r="C31" s="8" t="s">
        <v>106</v>
      </c>
      <c r="D31" s="8" t="s">
        <v>107</v>
      </c>
      <c r="E31" s="8">
        <v>40</v>
      </c>
      <c r="F31" s="5">
        <f>IF(ISBLANK(E31),AVERAGE($E$2:$E$35),E31)</f>
        <v>40</v>
      </c>
      <c r="G31" s="9">
        <f t="shared" si="0"/>
        <v>40</v>
      </c>
      <c r="H31" s="8">
        <v>10</v>
      </c>
      <c r="I31" s="8" t="s">
        <v>36</v>
      </c>
      <c r="J31" s="8" t="s">
        <v>36</v>
      </c>
      <c r="K31" t="str">
        <f t="shared" si="1"/>
        <v>Kitchen</v>
      </c>
      <c r="L31" t="str">
        <f>LEFT(A31,6)</f>
        <v>13-APR</v>
      </c>
      <c r="M31" s="11">
        <f t="shared" si="3"/>
        <v>46125</v>
      </c>
      <c r="N31" t="str">
        <f t="shared" si="4"/>
        <v>CA</v>
      </c>
      <c r="O31" t="str">
        <f t="shared" si="5"/>
        <v>Hamilton Toaster</v>
      </c>
      <c r="P31" s="8">
        <v>40</v>
      </c>
      <c r="Q31" s="8" t="s">
        <v>36</v>
      </c>
    </row>
    <row r="32" spans="1:17" x14ac:dyDescent="0.25">
      <c r="A32" s="5" t="s">
        <v>108</v>
      </c>
      <c r="B32" s="5" t="s">
        <v>93</v>
      </c>
      <c r="C32" s="5" t="s">
        <v>93</v>
      </c>
      <c r="D32" s="5" t="s">
        <v>109</v>
      </c>
      <c r="E32" s="5">
        <v>130</v>
      </c>
      <c r="F32" s="5">
        <f>IF(ISBLANK(E32),AVERAGE($E$2:$E$35),E32)</f>
        <v>130</v>
      </c>
      <c r="G32" s="9">
        <f t="shared" si="0"/>
        <v>130</v>
      </c>
      <c r="H32" s="5">
        <v>5</v>
      </c>
      <c r="I32" s="5" t="s">
        <v>28</v>
      </c>
      <c r="J32" s="5" t="s">
        <v>28</v>
      </c>
      <c r="K32" t="str">
        <f t="shared" si="1"/>
        <v>Electronics</v>
      </c>
      <c r="L32" t="str">
        <f t="shared" si="2"/>
        <v>24-MAY</v>
      </c>
      <c r="M32" s="11">
        <f t="shared" si="3"/>
        <v>46166</v>
      </c>
      <c r="N32" t="str">
        <f t="shared" si="4"/>
        <v>CA</v>
      </c>
      <c r="O32" t="str">
        <f t="shared" si="5"/>
        <v>Garmin Fitness Tracker</v>
      </c>
      <c r="P32" s="5">
        <v>130</v>
      </c>
      <c r="Q32" s="5" t="s">
        <v>28</v>
      </c>
    </row>
    <row r="33" spans="1:17" x14ac:dyDescent="0.25">
      <c r="A33" s="8" t="s">
        <v>110</v>
      </c>
      <c r="B33" s="8" t="s">
        <v>111</v>
      </c>
      <c r="C33" s="8" t="s">
        <v>111</v>
      </c>
      <c r="D33" s="8" t="s">
        <v>112</v>
      </c>
      <c r="E33" s="8">
        <v>50</v>
      </c>
      <c r="F33" s="5">
        <f>IF(ISBLANK(E33),AVERAGE($E$2:$E$35),E33)</f>
        <v>50</v>
      </c>
      <c r="G33" s="9">
        <f t="shared" si="0"/>
        <v>50</v>
      </c>
      <c r="H33" s="8">
        <v>50</v>
      </c>
      <c r="I33" s="8" t="s">
        <v>32</v>
      </c>
      <c r="J33" s="8" t="s">
        <v>32</v>
      </c>
      <c r="K33" t="str">
        <f t="shared" si="1"/>
        <v>Fashion</v>
      </c>
      <c r="L33" t="str">
        <f t="shared" si="2"/>
        <v>02-DEC</v>
      </c>
      <c r="M33" s="11">
        <f t="shared" si="3"/>
        <v>46358</v>
      </c>
      <c r="N33" t="str">
        <f t="shared" si="4"/>
        <v>CA</v>
      </c>
      <c r="O33" t="str">
        <f t="shared" si="5"/>
        <v>Levi's Jeans</v>
      </c>
      <c r="P33" s="8">
        <v>50</v>
      </c>
      <c r="Q33" s="8" t="s">
        <v>32</v>
      </c>
    </row>
    <row r="34" spans="1:17" x14ac:dyDescent="0.25">
      <c r="A34" s="5" t="s">
        <v>60</v>
      </c>
      <c r="B34" s="5" t="s">
        <v>61</v>
      </c>
      <c r="C34" s="5" t="s">
        <v>61</v>
      </c>
      <c r="D34" s="5" t="s">
        <v>62</v>
      </c>
      <c r="E34" s="5">
        <v>950</v>
      </c>
      <c r="F34" s="5">
        <f>IF(ISBLANK(E34),AVERAGE($E$2:$E$35),E34)</f>
        <v>950</v>
      </c>
      <c r="G34" s="9">
        <f t="shared" si="0"/>
        <v>950</v>
      </c>
      <c r="H34" s="5">
        <v>25</v>
      </c>
      <c r="I34" s="5" t="s">
        <v>28</v>
      </c>
      <c r="J34" s="5" t="s">
        <v>28</v>
      </c>
      <c r="K34" t="str">
        <f t="shared" si="1"/>
        <v>Electronics</v>
      </c>
      <c r="L34" t="str">
        <f t="shared" si="2"/>
        <v>17-JUN</v>
      </c>
      <c r="M34" s="11">
        <f t="shared" si="3"/>
        <v>46190</v>
      </c>
      <c r="N34" t="str">
        <f t="shared" si="4"/>
        <v>IN</v>
      </c>
      <c r="O34" t="str">
        <f t="shared" si="5"/>
        <v>HP Laptop</v>
      </c>
      <c r="P34" s="5">
        <v>950</v>
      </c>
      <c r="Q34" s="5" t="s">
        <v>28</v>
      </c>
    </row>
    <row r="35" spans="1:17" x14ac:dyDescent="0.25">
      <c r="A35" s="8" t="s">
        <v>113</v>
      </c>
      <c r="B35" s="8" t="s">
        <v>114</v>
      </c>
      <c r="C35" s="8" t="s">
        <v>114</v>
      </c>
      <c r="D35" s="8" t="s">
        <v>115</v>
      </c>
      <c r="E35" s="8">
        <v>100</v>
      </c>
      <c r="F35" s="5">
        <f>IF(ISBLANK(E35),AVERAGE($E$2:$E$35),E35)</f>
        <v>100</v>
      </c>
      <c r="G35" s="9">
        <f t="shared" si="0"/>
        <v>100</v>
      </c>
      <c r="H35" s="8">
        <v>20</v>
      </c>
      <c r="I35" s="8" t="s">
        <v>75</v>
      </c>
      <c r="J35" s="8" t="s">
        <v>75</v>
      </c>
      <c r="K35" t="str">
        <f t="shared" si="1"/>
        <v>Accessories</v>
      </c>
      <c r="L35" t="str">
        <f t="shared" si="2"/>
        <v>09-JUL</v>
      </c>
      <c r="M35" s="11">
        <f>DATEVALUE(L35&amp;"-2026")</f>
        <v>46212</v>
      </c>
      <c r="N35" t="str">
        <f t="shared" si="4"/>
        <v>FR</v>
      </c>
      <c r="O35" t="str">
        <f t="shared" si="5"/>
        <v>Casio Watch</v>
      </c>
      <c r="P35" s="8">
        <v>100</v>
      </c>
      <c r="Q35" s="8" t="s">
        <v>75</v>
      </c>
    </row>
    <row r="36" spans="1:17" x14ac:dyDescent="0.25">
      <c r="G36" s="9"/>
    </row>
    <row r="37" spans="1:17" x14ac:dyDescent="0.25">
      <c r="G37" s="9"/>
    </row>
    <row r="49" spans="15:15" x14ac:dyDescent="0.25">
      <c r="O49" s="12"/>
    </row>
  </sheetData>
  <conditionalFormatting sqref="P2:P35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{C97B0581-5F38-4048-8862-36EA3E5D425F}</x14:id>
        </ext>
      </extLst>
    </cfRule>
  </conditionalFormatting>
  <conditionalFormatting sqref="Q2:Q35">
    <cfRule type="containsText" dxfId="0" priority="1" operator="containsText" text="Electronics">
      <formula>NOT(ISERROR(SEARCH("Electronics",Q2)))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7B0581-5F38-4048-8862-36EA3E5D42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P2:P35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6F1B7-5E1A-4499-8211-FF40BF66B565}">
  <dimension ref="A1:F32"/>
  <sheetViews>
    <sheetView workbookViewId="0">
      <selection activeCell="J15" sqref="J15"/>
    </sheetView>
  </sheetViews>
  <sheetFormatPr defaultRowHeight="13.2" x14ac:dyDescent="0.25"/>
  <cols>
    <col min="1" max="1" width="13.6640625" customWidth="1"/>
    <col min="2" max="3" width="15.6640625" customWidth="1"/>
    <col min="4" max="4" width="11.33203125" customWidth="1"/>
    <col min="5" max="5" width="12.77734375" customWidth="1"/>
    <col min="6" max="6" width="12.109375" customWidth="1"/>
  </cols>
  <sheetData>
    <row r="1" spans="1:6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6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6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</row>
    <row r="4" spans="1:6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</row>
    <row r="5" spans="1:6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</row>
    <row r="6" spans="1:6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6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6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6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6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6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6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6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6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6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6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x14ac:dyDescent="0.25">
      <c r="A25" s="5" t="s">
        <v>95</v>
      </c>
      <c r="B25" s="5" t="s">
        <v>96</v>
      </c>
      <c r="C25" s="5" t="s">
        <v>97</v>
      </c>
      <c r="D25" s="5">
        <v>800</v>
      </c>
      <c r="E25" s="5">
        <v>45</v>
      </c>
      <c r="F25" s="5" t="s">
        <v>28</v>
      </c>
    </row>
    <row r="26" spans="1:6" x14ac:dyDescent="0.25">
      <c r="A26" s="8" t="s">
        <v>98</v>
      </c>
      <c r="B26" s="8" t="s">
        <v>81</v>
      </c>
      <c r="C26" s="8" t="s">
        <v>99</v>
      </c>
      <c r="D26" s="8"/>
      <c r="E26" s="8">
        <v>25</v>
      </c>
      <c r="F26" s="8" t="s">
        <v>32</v>
      </c>
    </row>
    <row r="27" spans="1:6" x14ac:dyDescent="0.25">
      <c r="A27" s="5" t="s">
        <v>100</v>
      </c>
      <c r="B27" s="5" t="s">
        <v>51</v>
      </c>
      <c r="C27" s="5" t="s">
        <v>101</v>
      </c>
      <c r="D27" s="5">
        <v>400</v>
      </c>
      <c r="E27" s="5">
        <v>40</v>
      </c>
      <c r="F27" s="5" t="s">
        <v>36</v>
      </c>
    </row>
    <row r="28" spans="1:6" x14ac:dyDescent="0.25">
      <c r="A28" s="5" t="s">
        <v>102</v>
      </c>
      <c r="B28" s="5" t="s">
        <v>103</v>
      </c>
      <c r="C28" s="5" t="s">
        <v>104</v>
      </c>
      <c r="D28" s="5">
        <v>60</v>
      </c>
      <c r="E28" s="5">
        <v>30</v>
      </c>
      <c r="F28" s="5" t="s">
        <v>32</v>
      </c>
    </row>
    <row r="29" spans="1:6" x14ac:dyDescent="0.25">
      <c r="A29" s="8" t="s">
        <v>105</v>
      </c>
      <c r="B29" s="8" t="s">
        <v>106</v>
      </c>
      <c r="C29" s="8" t="s">
        <v>107</v>
      </c>
      <c r="D29" s="8">
        <v>40</v>
      </c>
      <c r="E29" s="8">
        <v>10</v>
      </c>
      <c r="F29" s="8" t="s">
        <v>36</v>
      </c>
    </row>
    <row r="30" spans="1:6" x14ac:dyDescent="0.25">
      <c r="A30" s="5" t="s">
        <v>108</v>
      </c>
      <c r="B30" s="5" t="s">
        <v>93</v>
      </c>
      <c r="C30" s="5" t="s">
        <v>109</v>
      </c>
      <c r="D30" s="5">
        <v>130</v>
      </c>
      <c r="E30" s="5">
        <v>5</v>
      </c>
      <c r="F30" s="5" t="s">
        <v>28</v>
      </c>
    </row>
    <row r="31" spans="1:6" x14ac:dyDescent="0.25">
      <c r="A31" s="8" t="s">
        <v>110</v>
      </c>
      <c r="B31" s="8" t="s">
        <v>111</v>
      </c>
      <c r="C31" s="8" t="s">
        <v>112</v>
      </c>
      <c r="D31" s="8">
        <v>50</v>
      </c>
      <c r="E31" s="8">
        <v>50</v>
      </c>
      <c r="F31" s="8" t="s">
        <v>32</v>
      </c>
    </row>
    <row r="32" spans="1:6" x14ac:dyDescent="0.25">
      <c r="A32" s="8" t="s">
        <v>113</v>
      </c>
      <c r="B32" s="8" t="s">
        <v>114</v>
      </c>
      <c r="C32" s="8" t="s">
        <v>115</v>
      </c>
      <c r="D32" s="8">
        <v>100</v>
      </c>
      <c r="E32" s="8">
        <v>20</v>
      </c>
      <c r="F32" s="8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answers</vt:lpstr>
      <vt:lpstr>ques 3 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Devananda R.G</cp:lastModifiedBy>
  <dcterms:modified xsi:type="dcterms:W3CDTF">2026-10-28T17:39:11Z</dcterms:modified>
</cp:coreProperties>
</file>