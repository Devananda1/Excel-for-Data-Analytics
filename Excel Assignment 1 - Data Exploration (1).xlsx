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2F66145-5E30-499D-AD46-ABB927E901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4" i="2"/>
  <c r="G5" i="2"/>
  <c r="G6" i="2"/>
  <c r="G7" i="2"/>
  <c r="G8" i="2"/>
  <c r="G9" i="2"/>
  <c r="G10" i="2"/>
  <c r="G11" i="2"/>
  <c r="G12" i="2"/>
  <c r="G2" i="2"/>
  <c r="D39" i="2"/>
  <c r="D44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" i="2"/>
  <c r="I26" i="2"/>
  <c r="I27" i="2"/>
  <c r="I28" i="2"/>
  <c r="I29" i="2"/>
  <c r="I30" i="2"/>
  <c r="I31" i="2"/>
  <c r="I32" i="2"/>
  <c r="I33" i="2"/>
  <c r="I34" i="2"/>
  <c r="I35" i="2"/>
  <c r="I36" i="2"/>
  <c r="I3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D43" i="2"/>
  <c r="G35" i="2"/>
  <c r="D42" i="2"/>
  <c r="D41" i="2"/>
  <c r="D40" i="2"/>
  <c r="D38" i="2"/>
</calcChain>
</file>

<file path=xl/sharedStrings.xml><?xml version="1.0" encoding="utf-8"?>
<sst xmlns="http://schemas.openxmlformats.org/spreadsheetml/2006/main" count="170" uniqueCount="119">
  <si>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</si>
  <si>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</si>
  <si>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</si>
  <si>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</si>
  <si>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</si>
  <si>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</si>
  <si>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</si>
  <si>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</si>
  <si>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</si>
  <si>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</si>
  <si>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</si>
  <si>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</si>
  <si>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</si>
  <si>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</si>
  <si>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</si>
  <si>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</si>
  <si>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</si>
  <si>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</si>
  <si>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</si>
  <si>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</si>
  <si>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</si>
  <si>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</si>
  <si>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</si>
  <si>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</si>
  <si>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</si>
  <si>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</si>
  <si>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</si>
  <si>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</si>
  <si>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</si>
  <si>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</si>
  <si>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</si>
  <si>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</si>
  <si>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</si>
  <si>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</si>
  <si>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</si>
  <si>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</si>
  <si>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</si>
  <si>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</si>
  <si>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</si>
  <si>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</si>
  <si>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</si>
  <si>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</si>
  <si>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</si>
  <si>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</si>
  <si>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</si>
  <si>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</si>
  <si>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</si>
  <si>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</si>
  <si>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</si>
  <si>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</si>
  <si>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</si>
  <si>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</si>
  <si>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</si>
  <si>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</si>
  <si>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</si>
  <si>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</si>
  <si>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</si>
  <si>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</si>
  <si>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</si>
  <si>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</si>
  <si>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</si>
  <si>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</si>
  <si>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</si>
  <si>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</si>
  <si>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</si>
  <si>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</si>
  <si>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</si>
  <si>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</si>
  <si>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</si>
  <si>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</si>
  <si>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</si>
  <si>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</si>
  <si>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</si>
  <si>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</si>
  <si>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</si>
  <si>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</si>
  <si>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</si>
  <si>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</si>
  <si>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</si>
  <si>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</si>
  <si>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</si>
  <si>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</si>
  <si>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</si>
  <si>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</si>
  <si>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</si>
  <si>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</si>
  <si>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</si>
  <si>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</si>
  <si>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</si>
  <si>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</si>
  <si>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</si>
  <si>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</si>
  <si>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</si>
  <si>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</si>
  <si>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</si>
  <si>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</si>
  <si>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</si>
  <si>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</si>
  <si>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</si>
  <si>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</si>
  <si>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</si>
  <si>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</si>
  <si>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</si>
  <si>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</si>
  <si>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</si>
  <si>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Levi's</t>
  </si>
  <si>
    <t>09-JUL-FR</t>
  </si>
  <si>
    <t>Casio</t>
  </si>
  <si>
    <t>Total price</t>
  </si>
  <si>
    <t>Count of products</t>
  </si>
  <si>
    <t>Average price</t>
  </si>
  <si>
    <t>Maximum price</t>
  </si>
  <si>
    <t>Minimum price</t>
  </si>
  <si>
    <t>SUMIF</t>
  </si>
  <si>
    <t>COUNTIF</t>
  </si>
  <si>
    <t>Day</t>
  </si>
  <si>
    <t>Country Code</t>
  </si>
  <si>
    <t>Price range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</si>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</sst>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zoomScale="75" workbookViewId="0">
      <selection activeCell="L29" sqref="L29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117</v>
      </c>
      <c r="H1" s="5" t="s">
        <v>115</v>
      </c>
      <c r="I1" s="5" t="s">
        <v>116</v>
      </c>
      <c r="J1" s="5" t="s">
        <v>118</v>
      </c>
    </row>
    <row r="2" spans="1:1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4" si="0">IF(D3&gt;=500,"High Price","Standard Price")</f>
        <v>Standard Price</v>
      </c>
      <c r="H3" t="str">
        <f t="shared" ref="H3:H35" si="1">LEFT(A3,2)</f>
        <v>15</v>
      </c>
      <c r="I3" t="str">
        <f t="shared" ref="I3:I37" si="2">RIGHT(A3,2)</f>
        <v>US</v>
      </c>
      <c r="J3" t="str">
        <f t="shared" ref="J3:J35" si="3">MID(A3,4,3)</f>
        <v>FEB</v>
      </c>
    </row>
    <row r="4" spans="1:1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>MID(A21,4,3)</f>
        <v>AUG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5">
      <c r="A33" s="8" t="s">
        <v>104</v>
      </c>
      <c r="B33" s="7" t="s">
        <v>24</v>
      </c>
      <c r="C33" s="8" t="s">
        <v>105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5">
      <c r="A34" s="7" t="s">
        <v>57</v>
      </c>
      <c r="B34" s="8" t="s">
        <v>28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5">
      <c r="A35" s="8" t="s">
        <v>106</v>
      </c>
      <c r="B35" s="7" t="s">
        <v>32</v>
      </c>
      <c r="C35" s="8" t="s">
        <v>107</v>
      </c>
      <c r="D35" s="8">
        <v>100</v>
      </c>
      <c r="E35" s="8">
        <v>20</v>
      </c>
      <c r="F35" s="8" t="s">
        <v>70</v>
      </c>
      <c r="G35" s="7" t="str">
        <f t="shared" ref="G3:G48" si="4">IF(D35&gt;=500,"High price","Standard Price")</f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5">
      <c r="G36" s="7"/>
      <c r="I36" t="str">
        <f t="shared" si="2"/>
        <v/>
      </c>
    </row>
    <row r="37" spans="1:10" ht="15.75" customHeight="1" x14ac:dyDescent="0.25">
      <c r="G37" s="7"/>
      <c r="I37" t="str">
        <f t="shared" si="2"/>
        <v/>
      </c>
    </row>
    <row r="38" spans="1:10" ht="15.75" customHeight="1" x14ac:dyDescent="0.25">
      <c r="C38" t="s">
        <v>108</v>
      </c>
      <c r="D38">
        <f>SUM(D2:D35)</f>
        <v>10100</v>
      </c>
      <c r="G38" s="7"/>
    </row>
    <row r="39" spans="1:10" ht="15.75" customHeight="1" x14ac:dyDescent="0.25">
      <c r="C39" t="s">
        <v>109</v>
      </c>
      <c r="D39">
        <f>COUNT(D2:D35)</f>
        <v>34</v>
      </c>
      <c r="G39" s="7"/>
    </row>
    <row r="40" spans="1:10" ht="15.75" customHeight="1" x14ac:dyDescent="0.25">
      <c r="C40" t="s">
        <v>110</v>
      </c>
      <c r="D40">
        <f>AVERAGE(D2:D35)</f>
        <v>297.05882352941177</v>
      </c>
      <c r="G40" s="7"/>
    </row>
    <row r="41" spans="1:10" ht="15.75" customHeight="1" x14ac:dyDescent="0.25">
      <c r="C41" t="s">
        <v>111</v>
      </c>
      <c r="D41">
        <f>MAX(D2:D35)</f>
        <v>1000</v>
      </c>
      <c r="G41" s="7"/>
    </row>
    <row r="42" spans="1:10" ht="15.75" customHeight="1" x14ac:dyDescent="0.25">
      <c r="C42" t="s">
        <v>112</v>
      </c>
      <c r="D42">
        <f>MIN(D2:D35)</f>
        <v>30</v>
      </c>
      <c r="G42" s="7"/>
    </row>
    <row r="43" spans="1:10" ht="15.75" customHeight="1" x14ac:dyDescent="0.25">
      <c r="C43" t="s">
        <v>113</v>
      </c>
      <c r="D43">
        <f>SUMIF(F2:F35,"ELECTRONICS",D2:D35)</f>
        <v>8050</v>
      </c>
      <c r="G43" s="7"/>
    </row>
    <row r="44" spans="1:10" ht="15.75" customHeight="1" x14ac:dyDescent="0.25">
      <c r="C44" t="s">
        <v>114</v>
      </c>
      <c r="D44">
        <f>COUNTIF(D2:D35,"&lt;100")</f>
        <v>11</v>
      </c>
      <c r="G44" s="7"/>
    </row>
    <row r="45" spans="1:10" ht="15.75" customHeight="1" x14ac:dyDescent="0.25">
      <c r="G45" s="7"/>
    </row>
    <row r="46" spans="1:10" ht="15.75" customHeight="1" x14ac:dyDescent="0.25">
      <c r="G46" s="7"/>
    </row>
    <row r="47" spans="1:10" ht="15.75" customHeight="1" x14ac:dyDescent="0.25">
      <c r="G47" s="7"/>
    </row>
    <row r="48" spans="1:10" ht="15.75" customHeight="1" x14ac:dyDescent="0.25">
      <c r="G48" s="7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Devananda R.G</cp:lastModifiedBy>
  <dcterms:created xsi:type="dcterms:W3CDTF">2026-10-14T16:57:39Z</dcterms:created>
  <dcterms:modified xsi:type="dcterms:W3CDTF">2026-10-14T16:57:39Z</dcterms:modified>
</cp:coreProperties>
</file>